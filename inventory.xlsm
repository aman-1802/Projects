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Data_Analyst\Inventory_control\"/>
    </mc:Choice>
  </mc:AlternateContent>
  <xr:revisionPtr revIDLastSave="0" documentId="13_ncr:1_{F64804F3-2402-4B00-92DB-89FC49FD85E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voice" sheetId="4" r:id="rId1"/>
    <sheet name="Purchase" sheetId="2" r:id="rId2"/>
    <sheet name="Sales" sheetId="3" r:id="rId3"/>
    <sheet name="Stock" sheetId="5" r:id="rId4"/>
    <sheet name="Sheet6" sheetId="8" r:id="rId5"/>
  </sheets>
  <definedNames>
    <definedName name="_xlnm._FilterDatabase" localSheetId="1" hidden="1">Purchase!$B$5:$B$14</definedName>
    <definedName name="_xlnm._FilterDatabase" localSheetId="3" hidden="1">Stock!$J$5:$J$5</definedName>
    <definedName name="_xlnm.Criteria" localSheetId="3">Stock!$M$5:$M$6</definedName>
    <definedName name="_xlnm.Extract" localSheetId="3">Stock!$C$5</definedName>
    <definedName name="_xlnm.Print_Area" localSheetId="0">Invoice!$B$2:$I$34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4" l="1"/>
  <c r="C17" i="4" s="1"/>
  <c r="C20" i="4"/>
  <c r="C21" i="4"/>
  <c r="C22" i="4"/>
  <c r="D9" i="5"/>
  <c r="D10" i="5"/>
  <c r="D11" i="5"/>
  <c r="D12" i="5"/>
  <c r="C9" i="2"/>
  <c r="C7" i="2"/>
  <c r="C8" i="2"/>
  <c r="C6" i="2"/>
  <c r="C19" i="4" l="1"/>
  <c r="C18" i="4"/>
  <c r="C16" i="4"/>
  <c r="K21" i="4"/>
  <c r="K22" i="4"/>
  <c r="D6" i="5"/>
  <c r="E6" i="5" s="1"/>
  <c r="D7" i="5"/>
  <c r="E7" i="5" s="1"/>
  <c r="D8" i="5"/>
  <c r="F8" i="5" s="1"/>
  <c r="E9" i="5"/>
  <c r="E18" i="4"/>
  <c r="E19" i="4"/>
  <c r="E20" i="4"/>
  <c r="E21" i="4"/>
  <c r="E22" i="4"/>
  <c r="E17" i="4"/>
  <c r="F18" i="4"/>
  <c r="F19" i="4"/>
  <c r="F20" i="4"/>
  <c r="F21" i="4"/>
  <c r="F22" i="4"/>
  <c r="F17" i="4"/>
  <c r="F16" i="4"/>
  <c r="H16" i="4" s="1"/>
  <c r="I16" i="4" s="1"/>
  <c r="E16" i="4"/>
  <c r="H10" i="4"/>
  <c r="H22" i="4" l="1"/>
  <c r="I22" i="4" s="1"/>
  <c r="H18" i="4"/>
  <c r="I18" i="4" s="1"/>
  <c r="H20" i="4"/>
  <c r="I20" i="4" s="1"/>
  <c r="H17" i="4"/>
  <c r="I17" i="4" s="1"/>
  <c r="H21" i="4"/>
  <c r="I21" i="4" s="1"/>
  <c r="F7" i="5"/>
  <c r="G7" i="5" s="1"/>
  <c r="K18" i="4" s="1"/>
  <c r="E8" i="5"/>
  <c r="G8" i="5" s="1"/>
  <c r="F6" i="5"/>
  <c r="G6" i="5" s="1"/>
  <c r="K20" i="4" s="1"/>
  <c r="F9" i="5"/>
  <c r="G9" i="5" s="1"/>
  <c r="K19" i="4" s="1"/>
  <c r="H19" i="4"/>
  <c r="I19" i="4" s="1"/>
  <c r="I26" i="4" l="1"/>
  <c r="K17" i="4"/>
  <c r="K16" i="4"/>
</calcChain>
</file>

<file path=xl/sharedStrings.xml><?xml version="1.0" encoding="utf-8"?>
<sst xmlns="http://schemas.openxmlformats.org/spreadsheetml/2006/main" count="147" uniqueCount="39">
  <si>
    <t>Sr No.</t>
  </si>
  <si>
    <t>Invoice No</t>
  </si>
  <si>
    <t>HSN</t>
  </si>
  <si>
    <t>Item</t>
  </si>
  <si>
    <t>Rate</t>
  </si>
  <si>
    <t>Qty</t>
  </si>
  <si>
    <t>GST 5%</t>
  </si>
  <si>
    <t>Amount</t>
  </si>
  <si>
    <t>Customer Name</t>
  </si>
  <si>
    <t>Address</t>
  </si>
  <si>
    <t>Contact No</t>
  </si>
  <si>
    <t>GSTIN</t>
  </si>
  <si>
    <t>Invoice no</t>
  </si>
  <si>
    <t>Date</t>
  </si>
  <si>
    <t>Aman Enterprise</t>
  </si>
  <si>
    <t>Customer Details</t>
  </si>
  <si>
    <t>Subtotal</t>
  </si>
  <si>
    <t>Thank You</t>
  </si>
  <si>
    <t>Account</t>
  </si>
  <si>
    <t>Customer</t>
  </si>
  <si>
    <t>Keep Smiling...</t>
  </si>
  <si>
    <t>HSN Code</t>
  </si>
  <si>
    <t>P Rate</t>
  </si>
  <si>
    <t>P Qty</t>
  </si>
  <si>
    <t>Sale Rate</t>
  </si>
  <si>
    <t>H21</t>
  </si>
  <si>
    <t>Mouse</t>
  </si>
  <si>
    <t>Keyboard</t>
  </si>
  <si>
    <t>H22</t>
  </si>
  <si>
    <t>H23</t>
  </si>
  <si>
    <t>H24</t>
  </si>
  <si>
    <t>Sale Qty</t>
  </si>
  <si>
    <t>In Stock</t>
  </si>
  <si>
    <t>Printer</t>
  </si>
  <si>
    <t/>
  </si>
  <si>
    <t>Speaker</t>
  </si>
  <si>
    <t>Sr no</t>
  </si>
  <si>
    <t>HSN no</t>
  </si>
  <si>
    <t>INVENTORY PURCHASED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</si>
</sst>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dd\ mmm\ yyyy"/>
    <numFmt numFmtId="166" formatCode="&quot;₹&quot;\ 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3" borderId="5" xfId="0" applyFont="1" applyFill="1" applyBorder="1"/>
    <xf numFmtId="0" fontId="2" fillId="3" borderId="7" xfId="0" applyFont="1" applyFill="1" applyBorder="1"/>
    <xf numFmtId="0" fontId="2" fillId="3" borderId="3" xfId="0" applyFont="1" applyFill="1" applyBorder="1"/>
    <xf numFmtId="0" fontId="1" fillId="3" borderId="1" xfId="0" applyFont="1" applyFill="1" applyBorder="1"/>
    <xf numFmtId="0" fontId="5" fillId="0" borderId="0" xfId="0" applyFont="1"/>
    <xf numFmtId="0" fontId="0" fillId="3" borderId="0" xfId="0" applyFill="1"/>
    <xf numFmtId="0" fontId="2" fillId="4" borderId="5" xfId="0" applyFont="1" applyFill="1" applyBorder="1"/>
    <xf numFmtId="0" fontId="2" fillId="4" borderId="7" xfId="0" applyFont="1" applyFill="1" applyBorder="1"/>
    <xf numFmtId="0" fontId="2" fillId="4" borderId="3" xfId="0" applyFont="1" applyFill="1" applyBorder="1"/>
    <xf numFmtId="0" fontId="10" fillId="0" borderId="0" xfId="0" applyFont="1"/>
    <xf numFmtId="166" fontId="9" fillId="0" borderId="4" xfId="0" applyNumberFormat="1" applyFont="1" applyBorder="1"/>
    <xf numFmtId="0" fontId="2" fillId="6" borderId="0" xfId="0" applyFont="1" applyFill="1"/>
    <xf numFmtId="0" fontId="0" fillId="0" borderId="0" xfId="0" applyAlignment="1">
      <alignment horizontal="left"/>
    </xf>
    <xf numFmtId="0" fontId="8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left" indent="1"/>
    </xf>
    <xf numFmtId="165" fontId="0" fillId="0" borderId="6" xfId="0" applyNumberFormat="1" applyBorder="1" applyAlignment="1">
      <alignment horizontal="left" indent="1"/>
    </xf>
    <xf numFmtId="164" fontId="0" fillId="0" borderId="0" xfId="0" applyNumberFormat="1"/>
    <xf numFmtId="0" fontId="0" fillId="0" borderId="0" xfId="0"/>
    <xf numFmtId="0" fontId="7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" fillId="6" borderId="0" xfId="0" applyFont="1" applyFill="1"/>
    <xf numFmtId="0" fontId="0" fillId="0" borderId="6" xfId="0" applyBorder="1"/>
    <xf numFmtId="0" fontId="11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</cellXfs>
  <cellStyles count="1">
    <cellStyle name="Normal" xfId="0" builtinId="0"/>
  </cellStyles>
  <dxfs count="26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2" tint="-0.74999237037263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fill>
        <patternFill patternType="solid">
          <fgColor indexed="64"/>
          <bgColor theme="1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</font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ales!A1"/><Relationship Id="rId2" Type="http://schemas.openxmlformats.org/officeDocument/2006/relationships/hyperlink" Target="#Purchase!A1"/><Relationship Id="rId1" Type="http://schemas.openxmlformats.org/officeDocument/2006/relationships/hyperlink" Target="#Invoice!A1"/><Relationship Id="rId4" Type="http://schemas.openxmlformats.org/officeDocument/2006/relationships/hyperlink" Target="#Stock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ales!A1"/><Relationship Id="rId2" Type="http://schemas.openxmlformats.org/officeDocument/2006/relationships/hyperlink" Target="#Purchase!A1"/><Relationship Id="rId1" Type="http://schemas.openxmlformats.org/officeDocument/2006/relationships/hyperlink" Target="#Invoice!A1"/><Relationship Id="rId4" Type="http://schemas.openxmlformats.org/officeDocument/2006/relationships/hyperlink" Target="#Stock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ales!A1"/><Relationship Id="rId2" Type="http://schemas.openxmlformats.org/officeDocument/2006/relationships/hyperlink" Target="#Purchase!A1"/><Relationship Id="rId1" Type="http://schemas.openxmlformats.org/officeDocument/2006/relationships/hyperlink" Target="#Invoice!A1"/><Relationship Id="rId4" Type="http://schemas.openxmlformats.org/officeDocument/2006/relationships/hyperlink" Target="#Stoc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urchase!A1"/><Relationship Id="rId2" Type="http://schemas.openxmlformats.org/officeDocument/2006/relationships/hyperlink" Target="#Invoice!A1"/><Relationship Id="rId1" Type="http://schemas.openxmlformats.org/officeDocument/2006/relationships/image" Target="../media/image1.png"/><Relationship Id="rId5" Type="http://schemas.openxmlformats.org/officeDocument/2006/relationships/hyperlink" Target="#Stock!A1"/><Relationship Id="rId4" Type="http://schemas.openxmlformats.org/officeDocument/2006/relationships/hyperlink" Target="#Sal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</xdr:colOff>
      <xdr:row>9</xdr:row>
      <xdr:rowOff>38100</xdr:rowOff>
    </xdr:from>
    <xdr:to>
      <xdr:col>13</xdr:col>
      <xdr:colOff>106680</xdr:colOff>
      <xdr:row>21</xdr:row>
      <xdr:rowOff>167640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1550361-D6F0-20B3-6046-7C4F8429AF0F}"/>
            </a:ext>
          </a:extLst>
        </xdr:cNvPr>
        <xdr:cNvSpPr/>
      </xdr:nvSpPr>
      <xdr:spPr>
        <a:xfrm>
          <a:off x="6591300" y="1684020"/>
          <a:ext cx="1927860" cy="23241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0</xdr:colOff>
      <xdr:row>2</xdr:row>
      <xdr:rowOff>0</xdr:rowOff>
    </xdr:from>
    <xdr:to>
      <xdr:col>13</xdr:col>
      <xdr:colOff>7620</xdr:colOff>
      <xdr:row>4</xdr:row>
      <xdr:rowOff>53340</xdr:rowOff>
    </xdr:to>
    <xdr:sp macro="[0]!saveinvoice" textlink="">
      <xdr:nvSpPr>
        <xdr:cNvPr id="5" name="Rectangle 4">
          <a:extLst>
            <a:ext uri="{FF2B5EF4-FFF2-40B4-BE49-F238E27FC236}">
              <a16:creationId xmlns:a16="http://schemas.microsoft.com/office/drawing/2014/main" id="{050EF69D-2D82-46AB-B034-60A233F88EA1}"/>
            </a:ext>
          </a:extLst>
        </xdr:cNvPr>
        <xdr:cNvSpPr/>
      </xdr:nvSpPr>
      <xdr:spPr>
        <a:xfrm>
          <a:off x="6583680" y="365760"/>
          <a:ext cx="1836420" cy="4191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tx1"/>
              </a:solidFill>
            </a:rPr>
            <a:t>Save</a:t>
          </a:r>
          <a:r>
            <a:rPr lang="en-IN" sz="2000" b="1" baseline="0">
              <a:solidFill>
                <a:schemeClr val="tx1"/>
              </a:solidFill>
            </a:rPr>
            <a:t> and Print</a:t>
          </a:r>
        </a:p>
        <a:p>
          <a:pPr algn="ctr"/>
          <a:endParaRPr lang="en-IN" sz="2000" b="1">
            <a:solidFill>
              <a:schemeClr val="tx1"/>
            </a:solidFill>
          </a:endParaRPr>
        </a:p>
        <a:p>
          <a:pPr algn="l"/>
          <a:endParaRPr lang="en-IN" sz="1100" b="1"/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594360</xdr:colOff>
      <xdr:row>7</xdr:row>
      <xdr:rowOff>53340</xdr:rowOff>
    </xdr:to>
    <xdr:sp macro="[0]!sales" textlink="">
      <xdr:nvSpPr>
        <xdr:cNvPr id="8" name="Rectangle 7">
          <a:extLst>
            <a:ext uri="{FF2B5EF4-FFF2-40B4-BE49-F238E27FC236}">
              <a16:creationId xmlns:a16="http://schemas.microsoft.com/office/drawing/2014/main" id="{48424236-3F90-49A1-A98B-0ABA021630F6}"/>
            </a:ext>
          </a:extLst>
        </xdr:cNvPr>
        <xdr:cNvSpPr/>
      </xdr:nvSpPr>
      <xdr:spPr>
        <a:xfrm>
          <a:off x="6583680" y="914400"/>
          <a:ext cx="1813560" cy="4191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tx1"/>
              </a:solidFill>
            </a:rPr>
            <a:t>Save Invoice</a:t>
          </a:r>
        </a:p>
        <a:p>
          <a:pPr algn="l"/>
          <a:endParaRPr lang="en-IN" sz="1100" b="1"/>
        </a:p>
      </xdr:txBody>
    </xdr:sp>
    <xdr:clientData/>
  </xdr:twoCellAnchor>
  <xdr:twoCellAnchor>
    <xdr:from>
      <xdr:col>10</xdr:col>
      <xdr:colOff>274320</xdr:colOff>
      <xdr:row>10</xdr:row>
      <xdr:rowOff>30480</xdr:rowOff>
    </xdr:from>
    <xdr:to>
      <xdr:col>12</xdr:col>
      <xdr:colOff>472440</xdr:colOff>
      <xdr:row>12</xdr:row>
      <xdr:rowOff>15240</xdr:rowOff>
    </xdr:to>
    <xdr:sp macro="" textlink="">
      <xdr:nvSpPr>
        <xdr:cNvPr id="9" name="Rectangle: Rounded Corner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B7F94D-EAEB-0C65-3C19-F6DC1F4D335C}"/>
            </a:ext>
          </a:extLst>
        </xdr:cNvPr>
        <xdr:cNvSpPr/>
      </xdr:nvSpPr>
      <xdr:spPr>
        <a:xfrm>
          <a:off x="6858000" y="185928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tx1"/>
              </a:solidFill>
            </a:rPr>
            <a:t>Invoice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281940</xdr:colOff>
      <xdr:row>13</xdr:row>
      <xdr:rowOff>15240</xdr:rowOff>
    </xdr:from>
    <xdr:to>
      <xdr:col>12</xdr:col>
      <xdr:colOff>480060</xdr:colOff>
      <xdr:row>15</xdr:row>
      <xdr:rowOff>0</xdr:rowOff>
    </xdr:to>
    <xdr:sp macro="" textlink="">
      <xdr:nvSpPr>
        <xdr:cNvPr id="10" name="Rectangle: Rounded Corner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063E25A-D7A1-40DE-920D-27FACF1A2415}"/>
            </a:ext>
          </a:extLst>
        </xdr:cNvPr>
        <xdr:cNvSpPr/>
      </xdr:nvSpPr>
      <xdr:spPr>
        <a:xfrm>
          <a:off x="6865620" y="239268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Purchase</a:t>
          </a:r>
        </a:p>
      </xdr:txBody>
    </xdr:sp>
    <xdr:clientData/>
  </xdr:twoCellAnchor>
  <xdr:twoCellAnchor>
    <xdr:from>
      <xdr:col>10</xdr:col>
      <xdr:colOff>281940</xdr:colOff>
      <xdr:row>15</xdr:row>
      <xdr:rowOff>167640</xdr:rowOff>
    </xdr:from>
    <xdr:to>
      <xdr:col>12</xdr:col>
      <xdr:colOff>480060</xdr:colOff>
      <xdr:row>17</xdr:row>
      <xdr:rowOff>152400</xdr:rowOff>
    </xdr:to>
    <xdr:sp macro="" textlink="">
      <xdr:nvSpPr>
        <xdr:cNvPr id="11" name="Rectangle: Rounded Corner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F8C459A-30BC-4D7D-B758-205EFCEACA91}"/>
            </a:ext>
          </a:extLst>
        </xdr:cNvPr>
        <xdr:cNvSpPr/>
      </xdr:nvSpPr>
      <xdr:spPr>
        <a:xfrm>
          <a:off x="6865620" y="291084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Sales</a:t>
          </a:r>
        </a:p>
      </xdr:txBody>
    </xdr:sp>
    <xdr:clientData/>
  </xdr:twoCellAnchor>
  <xdr:twoCellAnchor>
    <xdr:from>
      <xdr:col>10</xdr:col>
      <xdr:colOff>281940</xdr:colOff>
      <xdr:row>18</xdr:row>
      <xdr:rowOff>129540</xdr:rowOff>
    </xdr:from>
    <xdr:to>
      <xdr:col>12</xdr:col>
      <xdr:colOff>510540</xdr:colOff>
      <xdr:row>20</xdr:row>
      <xdr:rowOff>114300</xdr:rowOff>
    </xdr:to>
    <xdr:sp macro="" textlink="">
      <xdr:nvSpPr>
        <xdr:cNvPr id="12" name="Rectangle: Rounded Corner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B5BD6C9-1D88-4C07-85DC-73C3C0344C6D}"/>
            </a:ext>
          </a:extLst>
        </xdr:cNvPr>
        <xdr:cNvSpPr/>
      </xdr:nvSpPr>
      <xdr:spPr>
        <a:xfrm>
          <a:off x="6865620" y="3421380"/>
          <a:ext cx="144780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Stock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11</xdr:col>
      <xdr:colOff>99060</xdr:colOff>
      <xdr:row>16</xdr:row>
      <xdr:rowOff>129540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CA32D13-D6A3-4468-BDC1-024AE7DB5773}"/>
            </a:ext>
          </a:extLst>
        </xdr:cNvPr>
        <xdr:cNvSpPr/>
      </xdr:nvSpPr>
      <xdr:spPr>
        <a:xfrm>
          <a:off x="5326380" y="731520"/>
          <a:ext cx="1927860" cy="23241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266700</xdr:colOff>
      <xdr:row>4</xdr:row>
      <xdr:rowOff>175260</xdr:rowOff>
    </xdr:from>
    <xdr:to>
      <xdr:col>10</xdr:col>
      <xdr:colOff>464820</xdr:colOff>
      <xdr:row>6</xdr:row>
      <xdr:rowOff>160020</xdr:rowOff>
    </xdr:to>
    <xdr:sp macro="" textlink="">
      <xdr:nvSpPr>
        <xdr:cNvPr id="9" name="Rectangle: Rounded Corner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566416-F9B3-4F22-8C58-201D0C617F7B}"/>
            </a:ext>
          </a:extLst>
        </xdr:cNvPr>
        <xdr:cNvSpPr/>
      </xdr:nvSpPr>
      <xdr:spPr>
        <a:xfrm>
          <a:off x="5593080" y="90678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tx1"/>
              </a:solidFill>
            </a:rPr>
            <a:t>Invoice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274320</xdr:colOff>
      <xdr:row>7</xdr:row>
      <xdr:rowOff>160020</xdr:rowOff>
    </xdr:from>
    <xdr:to>
      <xdr:col>10</xdr:col>
      <xdr:colOff>472440</xdr:colOff>
      <xdr:row>9</xdr:row>
      <xdr:rowOff>144780</xdr:rowOff>
    </xdr:to>
    <xdr:sp macro="" textlink="">
      <xdr:nvSpPr>
        <xdr:cNvPr id="10" name="Rectangle: Rounded Corner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B0367D-E059-4394-8128-558E05FDCD63}"/>
            </a:ext>
          </a:extLst>
        </xdr:cNvPr>
        <xdr:cNvSpPr/>
      </xdr:nvSpPr>
      <xdr:spPr>
        <a:xfrm>
          <a:off x="5600700" y="144018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Purchase</a:t>
          </a:r>
        </a:p>
      </xdr:txBody>
    </xdr:sp>
    <xdr:clientData/>
  </xdr:twoCellAnchor>
  <xdr:twoCellAnchor>
    <xdr:from>
      <xdr:col>8</xdr:col>
      <xdr:colOff>274320</xdr:colOff>
      <xdr:row>10</xdr:row>
      <xdr:rowOff>129540</xdr:rowOff>
    </xdr:from>
    <xdr:to>
      <xdr:col>10</xdr:col>
      <xdr:colOff>472440</xdr:colOff>
      <xdr:row>12</xdr:row>
      <xdr:rowOff>114300</xdr:rowOff>
    </xdr:to>
    <xdr:sp macro="" textlink="">
      <xdr:nvSpPr>
        <xdr:cNvPr id="11" name="Rectangle: Rounded Corner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B2A21A-B891-499C-88D8-63E67858A526}"/>
            </a:ext>
          </a:extLst>
        </xdr:cNvPr>
        <xdr:cNvSpPr/>
      </xdr:nvSpPr>
      <xdr:spPr>
        <a:xfrm>
          <a:off x="5600700" y="195834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Sales</a:t>
          </a:r>
        </a:p>
      </xdr:txBody>
    </xdr:sp>
    <xdr:clientData/>
  </xdr:twoCellAnchor>
  <xdr:twoCellAnchor>
    <xdr:from>
      <xdr:col>8</xdr:col>
      <xdr:colOff>274320</xdr:colOff>
      <xdr:row>13</xdr:row>
      <xdr:rowOff>91440</xdr:rowOff>
    </xdr:from>
    <xdr:to>
      <xdr:col>10</xdr:col>
      <xdr:colOff>502920</xdr:colOff>
      <xdr:row>15</xdr:row>
      <xdr:rowOff>76200</xdr:rowOff>
    </xdr:to>
    <xdr:sp macro="" textlink="">
      <xdr:nvSpPr>
        <xdr:cNvPr id="12" name="Rectangle: Rounded Corner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A831F9-9389-4E59-8737-997BA2C55355}"/>
            </a:ext>
          </a:extLst>
        </xdr:cNvPr>
        <xdr:cNvSpPr/>
      </xdr:nvSpPr>
      <xdr:spPr>
        <a:xfrm>
          <a:off x="5600700" y="2468880"/>
          <a:ext cx="144780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Stock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0</xdr:rowOff>
    </xdr:from>
    <xdr:to>
      <xdr:col>13</xdr:col>
      <xdr:colOff>99060</xdr:colOff>
      <xdr:row>16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ACAAE30-7348-4AF2-A178-AA29F582F48F}"/>
            </a:ext>
          </a:extLst>
        </xdr:cNvPr>
        <xdr:cNvSpPr/>
      </xdr:nvSpPr>
      <xdr:spPr>
        <a:xfrm>
          <a:off x="6370320" y="731520"/>
          <a:ext cx="1927860" cy="23241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266700</xdr:colOff>
      <xdr:row>4</xdr:row>
      <xdr:rowOff>175260</xdr:rowOff>
    </xdr:from>
    <xdr:to>
      <xdr:col>12</xdr:col>
      <xdr:colOff>464820</xdr:colOff>
      <xdr:row>6</xdr:row>
      <xdr:rowOff>160020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A44F43-EF2C-427A-B9EE-437C09B94592}"/>
            </a:ext>
          </a:extLst>
        </xdr:cNvPr>
        <xdr:cNvSpPr/>
      </xdr:nvSpPr>
      <xdr:spPr>
        <a:xfrm>
          <a:off x="6637020" y="90678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tx1"/>
              </a:solidFill>
            </a:rPr>
            <a:t>Invoice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274320</xdr:colOff>
      <xdr:row>7</xdr:row>
      <xdr:rowOff>160020</xdr:rowOff>
    </xdr:from>
    <xdr:to>
      <xdr:col>12</xdr:col>
      <xdr:colOff>472440</xdr:colOff>
      <xdr:row>9</xdr:row>
      <xdr:rowOff>144780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C3A322-8487-4F73-AFE7-3BC99BBA8A00}"/>
            </a:ext>
          </a:extLst>
        </xdr:cNvPr>
        <xdr:cNvSpPr/>
      </xdr:nvSpPr>
      <xdr:spPr>
        <a:xfrm>
          <a:off x="6644640" y="144018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Purchase</a:t>
          </a:r>
        </a:p>
      </xdr:txBody>
    </xdr:sp>
    <xdr:clientData/>
  </xdr:twoCellAnchor>
  <xdr:twoCellAnchor>
    <xdr:from>
      <xdr:col>10</xdr:col>
      <xdr:colOff>274320</xdr:colOff>
      <xdr:row>10</xdr:row>
      <xdr:rowOff>129540</xdr:rowOff>
    </xdr:from>
    <xdr:to>
      <xdr:col>12</xdr:col>
      <xdr:colOff>472440</xdr:colOff>
      <xdr:row>12</xdr:row>
      <xdr:rowOff>114300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F19F32D-955A-476F-A2BF-5827CE7FDDD8}"/>
            </a:ext>
          </a:extLst>
        </xdr:cNvPr>
        <xdr:cNvSpPr/>
      </xdr:nvSpPr>
      <xdr:spPr>
        <a:xfrm>
          <a:off x="6644640" y="195834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Sales</a:t>
          </a:r>
        </a:p>
      </xdr:txBody>
    </xdr:sp>
    <xdr:clientData/>
  </xdr:twoCellAnchor>
  <xdr:twoCellAnchor>
    <xdr:from>
      <xdr:col>10</xdr:col>
      <xdr:colOff>274320</xdr:colOff>
      <xdr:row>13</xdr:row>
      <xdr:rowOff>91440</xdr:rowOff>
    </xdr:from>
    <xdr:to>
      <xdr:col>12</xdr:col>
      <xdr:colOff>502920</xdr:colOff>
      <xdr:row>15</xdr:row>
      <xdr:rowOff>76200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60ECF1-013C-4853-84CC-7151551EFC6E}"/>
            </a:ext>
          </a:extLst>
        </xdr:cNvPr>
        <xdr:cNvSpPr/>
      </xdr:nvSpPr>
      <xdr:spPr>
        <a:xfrm>
          <a:off x="6644640" y="2468880"/>
          <a:ext cx="144780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Stock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411481</xdr:colOff>
      <xdr:row>2</xdr:row>
      <xdr:rowOff>121920</xdr:rowOff>
    </xdr:from>
    <xdr:to>
      <xdr:col>10</xdr:col>
      <xdr:colOff>161926</xdr:colOff>
      <xdr:row>7</xdr:row>
      <xdr:rowOff>7620</xdr:rowOff>
    </xdr:to>
    <xdr:pic macro="[0]!refresh">
      <xdr:nvPicPr>
        <xdr:cNvPr id="5" name="Picture 4">
          <a:extLst>
            <a:ext uri="{FF2B5EF4-FFF2-40B4-BE49-F238E27FC236}">
              <a16:creationId xmlns:a16="http://schemas.microsoft.com/office/drawing/2014/main" id="{996FA757-64D7-F286-030F-078D73B20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1" y="487680"/>
          <a:ext cx="1000125" cy="8001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11</xdr:col>
      <xdr:colOff>68580</xdr:colOff>
      <xdr:row>23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E5B4F0-D722-41F3-AA07-D0AAD611C517}"/>
            </a:ext>
          </a:extLst>
        </xdr:cNvPr>
        <xdr:cNvSpPr/>
      </xdr:nvSpPr>
      <xdr:spPr>
        <a:xfrm>
          <a:off x="5151120" y="2011680"/>
          <a:ext cx="1927860" cy="23241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266700</xdr:colOff>
      <xdr:row>11</xdr:row>
      <xdr:rowOff>175260</xdr:rowOff>
    </xdr:from>
    <xdr:to>
      <xdr:col>10</xdr:col>
      <xdr:colOff>434340</xdr:colOff>
      <xdr:row>13</xdr:row>
      <xdr:rowOff>160020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8CFF775-CFE2-4669-9812-EEB1AFFB95EF}"/>
            </a:ext>
          </a:extLst>
        </xdr:cNvPr>
        <xdr:cNvSpPr/>
      </xdr:nvSpPr>
      <xdr:spPr>
        <a:xfrm>
          <a:off x="5417820" y="218694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tx1"/>
              </a:solidFill>
            </a:rPr>
            <a:t>Invoice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274320</xdr:colOff>
      <xdr:row>14</xdr:row>
      <xdr:rowOff>160020</xdr:rowOff>
    </xdr:from>
    <xdr:to>
      <xdr:col>10</xdr:col>
      <xdr:colOff>441960</xdr:colOff>
      <xdr:row>16</xdr:row>
      <xdr:rowOff>144780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52B7C8-E168-42F7-9F35-69026899EA34}"/>
            </a:ext>
          </a:extLst>
        </xdr:cNvPr>
        <xdr:cNvSpPr/>
      </xdr:nvSpPr>
      <xdr:spPr>
        <a:xfrm>
          <a:off x="5425440" y="272034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Purchase</a:t>
          </a:r>
        </a:p>
      </xdr:txBody>
    </xdr:sp>
    <xdr:clientData/>
  </xdr:twoCellAnchor>
  <xdr:twoCellAnchor>
    <xdr:from>
      <xdr:col>8</xdr:col>
      <xdr:colOff>274320</xdr:colOff>
      <xdr:row>17</xdr:row>
      <xdr:rowOff>129540</xdr:rowOff>
    </xdr:from>
    <xdr:to>
      <xdr:col>10</xdr:col>
      <xdr:colOff>441960</xdr:colOff>
      <xdr:row>19</xdr:row>
      <xdr:rowOff>114300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9D7FEE-CFA4-4C30-A44F-4891C5213FED}"/>
            </a:ext>
          </a:extLst>
        </xdr:cNvPr>
        <xdr:cNvSpPr/>
      </xdr:nvSpPr>
      <xdr:spPr>
        <a:xfrm>
          <a:off x="5425440" y="3238500"/>
          <a:ext cx="141732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Sales</a:t>
          </a:r>
        </a:p>
      </xdr:txBody>
    </xdr:sp>
    <xdr:clientData/>
  </xdr:twoCellAnchor>
  <xdr:twoCellAnchor>
    <xdr:from>
      <xdr:col>8</xdr:col>
      <xdr:colOff>274320</xdr:colOff>
      <xdr:row>20</xdr:row>
      <xdr:rowOff>91440</xdr:rowOff>
    </xdr:from>
    <xdr:to>
      <xdr:col>10</xdr:col>
      <xdr:colOff>472440</xdr:colOff>
      <xdr:row>22</xdr:row>
      <xdr:rowOff>76200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3462699-CA8F-4D11-B497-CCA7CBB7F726}"/>
            </a:ext>
          </a:extLst>
        </xdr:cNvPr>
        <xdr:cNvSpPr/>
      </xdr:nvSpPr>
      <xdr:spPr>
        <a:xfrm>
          <a:off x="5425440" y="3749040"/>
          <a:ext cx="1447800" cy="35052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Stock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E3A0A2-3B3F-450D-A0FC-2516F70C39CE}" name="Table4" displayName="Table4" ref="B15:I22" totalsRowShown="0" headerRowDxfId="25" headerRowBorderDxfId="24" tableBorderDxfId="23" totalsRowBorderDxfId="22">
  <autoFilter ref="B15:I22" xr:uid="{4CE3A0A2-3B3F-450D-A0FC-2516F70C39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0B745B5-0F2D-4557-A868-8BE7E371DB11}" name="Sr no" dataDxfId="21"/>
    <tableColumn id="2" xr3:uid="{F1EF780B-5254-4CA2-82A5-5FE1F787F8FB}" name="Invoice No" dataDxfId="20">
      <calculatedColumnFormula>IF(Table4[[#This Row],[HSN no]]="","",IFERROR($H$9,""))</calculatedColumnFormula>
    </tableColumn>
    <tableColumn id="3" xr3:uid="{043D3727-1FF1-4D9B-977C-D8402C999AEB}" name="HSN no" dataDxfId="19"/>
    <tableColumn id="4" xr3:uid="{8D2A1BF3-A079-48F4-8F17-16D7AFC26110}" name="Item" dataDxfId="18">
      <calculatedColumnFormula>IFERROR(VLOOKUP(D16,Table2[#All],3,0),"")</calculatedColumnFormula>
    </tableColumn>
    <tableColumn id="5" xr3:uid="{F9F7B5DA-938B-485D-AB3C-4E5991933925}" name="Rate" dataDxfId="17">
      <calculatedColumnFormula>IFERROR(VLOOKUP(D16,Table2[#All],6,0),"")</calculatedColumnFormula>
    </tableColumn>
    <tableColumn id="6" xr3:uid="{5728E997-F3C0-4B28-B38E-AB63ABF76608}" name="Qty" dataDxfId="16"/>
    <tableColumn id="7" xr3:uid="{C0BD47E2-9B3E-4D80-9210-F47EFEC86A25}" name="GST 5%" dataDxfId="15">
      <calculatedColumnFormula>IFERROR(F16*G16*5%,"")</calculatedColumnFormula>
    </tableColumn>
    <tableColumn id="8" xr3:uid="{01BD746C-7B3F-4CA1-BDD0-D7CB66469F1C}" name="Amount" dataDxfId="14">
      <calculatedColumnFormula>Table4[[#This Row],[Qty]]*Table4[[#This Row],[Rate]]+Table4[[#This Row],[GST 5%]]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C3FC34-5BD9-46D6-BA99-A3EAEF6FBEE5}" name="Table2" displayName="Table2" ref="B5:G14" totalsRowShown="0" headerRowDxfId="13">
  <tableColumns count="6">
    <tableColumn id="1" xr3:uid="{B74B6201-05E4-4F27-9C9B-0B0920B7F048}" name="HSN Code"/>
    <tableColumn id="2" xr3:uid="{24A4F1AE-C4D6-414E-B5B0-4677C3587D5A}" name="Date" dataDxfId="12"/>
    <tableColumn id="3" xr3:uid="{9535ECDD-89A7-4B55-B019-987300330CE2}" name="Item"/>
    <tableColumn id="4" xr3:uid="{24228C74-FBF9-4E87-B5D8-427498F27D44}" name="P Rate"/>
    <tableColumn id="5" xr3:uid="{7D458824-25C2-44C8-8FFD-7794A358E1B7}" name="P Qty"/>
    <tableColumn id="6" xr3:uid="{92F1C618-A7E3-4657-B3C7-0A9A65288A42}" name="Sale Rate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D52654D-FE35-4A52-8DF7-0FD56C535438}" name="Table3" displayName="Table3" ref="B5:I74" totalsRowShown="0" headerRowDxfId="11" headerRowBorderDxfId="10" tableBorderDxfId="9">
  <autoFilter ref="B5:I74" xr:uid="{ED52654D-FE35-4A52-8DF7-0FD56C535438}"/>
  <tableColumns count="8">
    <tableColumn id="1" xr3:uid="{1F59DC9C-2CBD-4964-9C27-7939FDF0A905}" name="Sr No."/>
    <tableColumn id="2" xr3:uid="{2009D0DC-3CB3-4990-A691-A2D9733BFBF7}" name="Invoice No"/>
    <tableColumn id="3" xr3:uid="{912BD6FC-C409-41CF-97DB-4EAE07D04E5E}" name="HSN"/>
    <tableColumn id="4" xr3:uid="{4E0DDF59-CEF9-4507-81CE-73A1A2F784E6}" name="Item"/>
    <tableColumn id="5" xr3:uid="{E483F669-3E71-4016-A7B7-1702C57B67CA}" name="Rate"/>
    <tableColumn id="6" xr3:uid="{66F01A15-4EEF-48F9-80C7-88CABEF8075D}" name="Qty"/>
    <tableColumn id="7" xr3:uid="{7156E5FC-000F-4ADA-B3A1-0598B7F89540}" name="GST 5%"/>
    <tableColumn id="8" xr3:uid="{EE54DB09-6454-440A-B844-F58A2D126046}" name="Am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B053E7-1271-4064-B8F9-F504F1ACE15A}" name="Table5" displayName="Table5" ref="C5:G12" totalsRowShown="0" headerRowDxfId="8" headerRowBorderDxfId="7" tableBorderDxfId="6" totalsRowBorderDxfId="5">
  <autoFilter ref="C5:G12" xr:uid="{49B053E7-1271-4064-B8F9-F504F1ACE15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AE48D16-D366-46A5-92AD-9B3CEE2C2EEC}" name="HSN Code" dataDxfId="4"/>
    <tableColumn id="2" xr3:uid="{D8839B94-9934-41C5-9BBE-F372DA00506C}" name="Item" dataDxfId="3">
      <calculatedColumnFormula>IFERROR(VLOOKUP(Table5[[#This Row],[HSN Code]],Table2[#All],3,0),"")</calculatedColumnFormula>
    </tableColumn>
    <tableColumn id="3" xr3:uid="{78CBD7A5-E59D-4474-B4AE-CC8D7E02ACC0}" name="P Qty" dataDxfId="2">
      <calculatedColumnFormula>SUMIF(Table2[Item],Table5[[#This Row],[Item]],Table2[P Qty])</calculatedColumnFormula>
    </tableColumn>
    <tableColumn id="4" xr3:uid="{CEFD8CAD-7FA3-4AB6-9BD8-E2FB1212AEF9}" name="Sale Qty" dataDxfId="1">
      <calculatedColumnFormula>SUMIF(Table3[Item],Table5[[#This Row],[Item]],Table3[Qty])</calculatedColumnFormula>
    </tableColumn>
    <tableColumn id="5" xr3:uid="{55BC33A2-CE34-4D1C-BD74-74903CADC666}" name="In Stock" dataDxfId="0">
      <calculatedColumnFormula>Table5[[#This Row],[P Qty]]-Table5[[#This Row],[Sale Qty]]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AFC02-9D28-4A5D-A2C5-35CE27507EDB}">
  <sheetPr codeName="Sheet1">
    <tabColor theme="4" tint="0.39997558519241921"/>
  </sheetPr>
  <dimension ref="B2:Q34"/>
  <sheetViews>
    <sheetView showGridLines="0" tabSelected="1" workbookViewId="0">
      <selection activeCell="P12" sqref="P12"/>
    </sheetView>
  </sheetViews>
  <sheetFormatPr defaultRowHeight="14.4" x14ac:dyDescent="0.3"/>
  <cols>
    <col min="3" max="3" width="11.88671875" customWidth="1"/>
    <col min="7" max="7" width="11.33203125" customWidth="1"/>
    <col min="8" max="8" width="9.88671875" bestFit="1" customWidth="1"/>
    <col min="9" max="9" width="14.33203125" customWidth="1"/>
  </cols>
  <sheetData>
    <row r="2" spans="2:14" x14ac:dyDescent="0.3">
      <c r="B2" s="28" t="s">
        <v>14</v>
      </c>
      <c r="C2" s="29"/>
      <c r="D2" s="29"/>
      <c r="E2" s="29"/>
      <c r="F2" s="29"/>
      <c r="G2" s="29"/>
      <c r="H2" s="29"/>
      <c r="I2" s="29"/>
    </row>
    <row r="3" spans="2:14" x14ac:dyDescent="0.3">
      <c r="B3" s="29"/>
      <c r="C3" s="29"/>
      <c r="D3" s="29"/>
      <c r="E3" s="29"/>
      <c r="F3" s="29"/>
      <c r="G3" s="29"/>
      <c r="H3" s="29"/>
      <c r="I3" s="29"/>
    </row>
    <row r="4" spans="2:14" x14ac:dyDescent="0.3">
      <c r="B4" s="30" t="s">
        <v>20</v>
      </c>
      <c r="C4" s="31"/>
      <c r="D4" s="31"/>
      <c r="E4" s="31"/>
      <c r="F4" s="31"/>
      <c r="G4" s="31"/>
      <c r="H4" s="31"/>
      <c r="I4" s="31"/>
    </row>
    <row r="6" spans="2:14" x14ac:dyDescent="0.3">
      <c r="B6" s="23" t="s">
        <v>15</v>
      </c>
      <c r="C6" s="23"/>
      <c r="D6" s="23"/>
      <c r="E6" s="23"/>
      <c r="F6" s="23"/>
      <c r="G6" s="23"/>
      <c r="H6" s="23"/>
      <c r="I6" s="23"/>
    </row>
    <row r="9" spans="2:14" x14ac:dyDescent="0.3">
      <c r="B9" s="32" t="s">
        <v>8</v>
      </c>
      <c r="C9" s="32"/>
      <c r="D9" s="24"/>
      <c r="E9" s="24"/>
      <c r="G9" s="19" t="s">
        <v>12</v>
      </c>
      <c r="H9" s="24">
        <f>MAX(Sales!C6:C74)+1</f>
        <v>1</v>
      </c>
      <c r="I9" s="24"/>
    </row>
    <row r="10" spans="2:14" x14ac:dyDescent="0.3">
      <c r="B10" s="32" t="s">
        <v>9</v>
      </c>
      <c r="C10" s="32"/>
      <c r="D10" s="24"/>
      <c r="E10" s="24"/>
      <c r="G10" s="19" t="s">
        <v>13</v>
      </c>
      <c r="H10" s="25">
        <f ca="1">TODAY()</f>
        <v>45553</v>
      </c>
      <c r="I10" s="25"/>
    </row>
    <row r="11" spans="2:14" x14ac:dyDescent="0.3">
      <c r="B11" s="32" t="s">
        <v>10</v>
      </c>
      <c r="C11" s="32"/>
      <c r="D11" s="24"/>
      <c r="E11" s="24"/>
      <c r="H11" s="26"/>
      <c r="I11" s="26"/>
    </row>
    <row r="12" spans="2:14" x14ac:dyDescent="0.3">
      <c r="B12" s="32" t="s">
        <v>11</v>
      </c>
      <c r="C12" s="32"/>
      <c r="D12" s="33"/>
      <c r="E12" s="33"/>
      <c r="H12" s="27"/>
      <c r="I12" s="27"/>
    </row>
    <row r="15" spans="2:14" x14ac:dyDescent="0.3">
      <c r="B15" s="14" t="s">
        <v>36</v>
      </c>
      <c r="C15" s="15" t="s">
        <v>1</v>
      </c>
      <c r="D15" s="15" t="s">
        <v>37</v>
      </c>
      <c r="E15" s="15" t="s">
        <v>3</v>
      </c>
      <c r="F15" s="15" t="s">
        <v>4</v>
      </c>
      <c r="G15" s="15" t="s">
        <v>5</v>
      </c>
      <c r="H15" s="15" t="s">
        <v>6</v>
      </c>
      <c r="I15" s="16" t="s">
        <v>7</v>
      </c>
    </row>
    <row r="16" spans="2:14" x14ac:dyDescent="0.3">
      <c r="B16" s="5"/>
      <c r="C16" s="2" t="str">
        <f>IF(Table4[[#This Row],[HSN no]]="","",IFERROR($H$9,""))</f>
        <v/>
      </c>
      <c r="D16" s="2"/>
      <c r="E16" s="2" t="str">
        <f>IFERROR(VLOOKUP(D16,Table2[#All],3,0),"")</f>
        <v/>
      </c>
      <c r="F16" s="2" t="str">
        <f>IFERROR(VLOOKUP(D16,Table2[#All],6,0),"")</f>
        <v/>
      </c>
      <c r="G16" s="2"/>
      <c r="H16" s="2" t="str">
        <f>IFERROR(F16*G16*5%,"")</f>
        <v/>
      </c>
      <c r="I16" s="6" t="str">
        <f>IFERROR(Table4[[#This Row],[Qty]]*Table4[[#This Row],[Rate]]+Table4[[#This Row],[GST 5%]],"")</f>
        <v/>
      </c>
      <c r="K16" s="12" t="str">
        <f>IFERROR(IF(VLOOKUP(D16,Table5[#All],5,0)&lt;G16,"OUT of STOCK! ONLY "&amp;VLOOKUP(D16,Table5[#All],5,0) &amp; " Only Available",""),"")</f>
        <v/>
      </c>
      <c r="L16" s="12"/>
      <c r="M16" s="12"/>
      <c r="N16" s="12"/>
    </row>
    <row r="17" spans="2:17" x14ac:dyDescent="0.3">
      <c r="B17" s="5"/>
      <c r="C17" s="2" t="str">
        <f>IF(Table4[[#This Row],[HSN no]]="","",IFERROR($H$9,""))</f>
        <v/>
      </c>
      <c r="D17" s="2"/>
      <c r="E17" s="2" t="str">
        <f>IFERROR(VLOOKUP(D17,Table2[#All],3,0),"")</f>
        <v/>
      </c>
      <c r="F17" s="2" t="str">
        <f>IFERROR(VLOOKUP(D17,Table2[#All],6,0),"")</f>
        <v/>
      </c>
      <c r="G17" s="2"/>
      <c r="H17" s="2" t="str">
        <f t="shared" ref="H17:H22" si="0">IFERROR(F17*G17*5%,"")</f>
        <v/>
      </c>
      <c r="I17" s="6" t="str">
        <f>IFERROR(Table4[[#This Row],[Qty]]*Table4[[#This Row],[Rate]]+Table4[[#This Row],[GST 5%]],"")</f>
        <v/>
      </c>
      <c r="K17" s="12" t="str">
        <f>IFERROR(IF(VLOOKUP(D17,Table5[#All],5,0)&lt;G17,"OUT of STOCK! ONLY "&amp;VLOOKUP(D17,Table5[#All],5,0) &amp; " Only Available",""),"")</f>
        <v/>
      </c>
      <c r="L17" s="12"/>
      <c r="M17" s="12"/>
      <c r="N17" s="12"/>
    </row>
    <row r="18" spans="2:17" x14ac:dyDescent="0.3">
      <c r="B18" s="5"/>
      <c r="C18" s="2" t="str">
        <f>IF(Table4[[#This Row],[HSN no]]="","",IFERROR($H$9,""))</f>
        <v/>
      </c>
      <c r="D18" s="2"/>
      <c r="E18" s="2" t="str">
        <f>IFERROR(VLOOKUP(D18,Table2[#All],3,0),"")</f>
        <v/>
      </c>
      <c r="F18" s="2" t="str">
        <f>IFERROR(VLOOKUP(D18,Table2[#All],6,0),"")</f>
        <v/>
      </c>
      <c r="G18" s="2"/>
      <c r="H18" s="2" t="str">
        <f t="shared" si="0"/>
        <v/>
      </c>
      <c r="I18" s="6" t="str">
        <f>IFERROR(Table4[[#This Row],[Qty]]*Table4[[#This Row],[Rate]]+Table4[[#This Row],[GST 5%]],"")</f>
        <v/>
      </c>
      <c r="K18" t="str">
        <f>IFERROR(IF(VLOOKUP(D18,Table5[#All],5,0)&lt;G18,"OUT of STOCK! ONLY "&amp;VLOOKUP(D18,Table5[#All],5,0) &amp; " Only Available",""),"")</f>
        <v/>
      </c>
    </row>
    <row r="19" spans="2:17" x14ac:dyDescent="0.3">
      <c r="B19" s="5"/>
      <c r="C19" s="2" t="str">
        <f>IF(Table4[[#This Row],[HSN no]]="","",IFERROR($H$9,""))</f>
        <v/>
      </c>
      <c r="D19" s="2"/>
      <c r="E19" s="2" t="str">
        <f>IFERROR(VLOOKUP(D19,Table2[#All],3,0),"")</f>
        <v/>
      </c>
      <c r="F19" s="2" t="str">
        <f>IFERROR(VLOOKUP(D19,Table2[#All],6,0),"")</f>
        <v/>
      </c>
      <c r="G19" s="2"/>
      <c r="H19" s="2" t="str">
        <f t="shared" si="0"/>
        <v/>
      </c>
      <c r="I19" s="6" t="str">
        <f>IFERROR(Table4[[#This Row],[Qty]]*Table4[[#This Row],[Rate]]+Table4[[#This Row],[GST 5%]],"")</f>
        <v/>
      </c>
      <c r="K19" t="str">
        <f>IFERROR(IF(VLOOKUP(D19,Table5[#All],5,0)&lt;G19,"OUT of STOCK! ONLY "&amp;VLOOKUP(D19,Table5[#All],5,0) &amp; " Only Available",""),"")</f>
        <v/>
      </c>
    </row>
    <row r="20" spans="2:17" x14ac:dyDescent="0.3">
      <c r="B20" s="5"/>
      <c r="C20" s="2" t="str">
        <f>IF(Table4[[#This Row],[HSN no]]="","",IFERROR($H$9,""))</f>
        <v/>
      </c>
      <c r="D20" s="2"/>
      <c r="E20" s="2" t="str">
        <f>IFERROR(VLOOKUP(D20,Table2[#All],3,0),"")</f>
        <v/>
      </c>
      <c r="F20" s="2" t="str">
        <f>IFERROR(VLOOKUP(D20,Table2[#All],6,0),"")</f>
        <v/>
      </c>
      <c r="G20" s="2"/>
      <c r="H20" s="2" t="str">
        <f t="shared" si="0"/>
        <v/>
      </c>
      <c r="I20" s="6" t="str">
        <f>IFERROR(Table4[[#This Row],[Qty]]*Table4[[#This Row],[Rate]]+Table4[[#This Row],[GST 5%]],"")</f>
        <v/>
      </c>
      <c r="K20" t="str">
        <f>IFERROR(IF(VLOOKUP(D20,Table5[#All],5,0)&lt;G20,"OUT of STOCK! ONLY "&amp;VLOOKUP(D20,Table5[#All],5,0) &amp; " Only Available",""),"")</f>
        <v/>
      </c>
    </row>
    <row r="21" spans="2:17" x14ac:dyDescent="0.3">
      <c r="B21" s="5"/>
      <c r="C21" s="2" t="str">
        <f>IF(Table4[[#This Row],[HSN no]]="","",IFERROR($H$9,""))</f>
        <v/>
      </c>
      <c r="D21" s="2"/>
      <c r="E21" s="2" t="str">
        <f>IFERROR(VLOOKUP(D21,Table2[#All],3,0),"")</f>
        <v/>
      </c>
      <c r="F21" s="2" t="str">
        <f>IFERROR(VLOOKUP(D21,Table2[#All],6,0),"")</f>
        <v/>
      </c>
      <c r="G21" s="2"/>
      <c r="H21" s="2" t="str">
        <f t="shared" si="0"/>
        <v/>
      </c>
      <c r="I21" s="6" t="str">
        <f>IFERROR(Table4[[#This Row],[Qty]]*Table4[[#This Row],[Rate]]+Table4[[#This Row],[GST 5%]],"")</f>
        <v/>
      </c>
      <c r="K21" t="str">
        <f>IFERROR(IF(VLOOKUP(D21,Table5[#All],5,0)&lt;G21,"OUT of STOCK! ONLY "&amp;VLOOKUP(D21,Table5[#All],5,0) &amp; " Only Available",""),"")</f>
        <v/>
      </c>
      <c r="Q21" s="20"/>
    </row>
    <row r="22" spans="2:17" x14ac:dyDescent="0.3">
      <c r="B22" s="5"/>
      <c r="C22" s="7" t="str">
        <f>IF(Table4[[#This Row],[HSN no]]="","",IFERROR($H$9,""))</f>
        <v/>
      </c>
      <c r="D22" s="7"/>
      <c r="E22" s="2" t="str">
        <f>IFERROR(VLOOKUP(D22,Table2[#All],3,0),"")</f>
        <v/>
      </c>
      <c r="F22" s="2" t="str">
        <f>IFERROR(VLOOKUP(D22,Table2[#All],6,0),"")</f>
        <v/>
      </c>
      <c r="G22" s="7"/>
      <c r="H22" s="2" t="str">
        <f t="shared" si="0"/>
        <v/>
      </c>
      <c r="I22" s="6" t="str">
        <f>IFERROR(Table4[[#This Row],[Qty]]*Table4[[#This Row],[Rate]]+Table4[[#This Row],[GST 5%]],"")</f>
        <v/>
      </c>
      <c r="K22" t="str">
        <f>IFERROR(IF(VLOOKUP(D22,Table5[#All],5,0)&lt;G22,"OUT of STOCK! ONLY "&amp;VLOOKUP(D22,Table5[#All],5,0) &amp; " Only Available",""),"")</f>
        <v/>
      </c>
    </row>
    <row r="26" spans="2:17" ht="18" x14ac:dyDescent="0.35">
      <c r="H26" s="17" t="s">
        <v>16</v>
      </c>
      <c r="I26" s="18">
        <f>SUM(Table4[Amount])</f>
        <v>0</v>
      </c>
    </row>
    <row r="28" spans="2:17" x14ac:dyDescent="0.3">
      <c r="B28" s="22"/>
      <c r="C28" s="22"/>
      <c r="H28" s="22"/>
      <c r="I28" s="22"/>
    </row>
    <row r="29" spans="2:17" x14ac:dyDescent="0.3">
      <c r="B29" s="23" t="s">
        <v>19</v>
      </c>
      <c r="C29" s="23"/>
      <c r="H29" s="23" t="s">
        <v>18</v>
      </c>
      <c r="I29" s="23"/>
    </row>
    <row r="33" spans="2:9" x14ac:dyDescent="0.3">
      <c r="B33" s="21" t="s">
        <v>17</v>
      </c>
      <c r="C33" s="21"/>
      <c r="D33" s="21"/>
      <c r="E33" s="21"/>
      <c r="F33" s="21"/>
      <c r="G33" s="21"/>
      <c r="H33" s="21"/>
      <c r="I33" s="21"/>
    </row>
    <row r="34" spans="2:9" x14ac:dyDescent="0.3">
      <c r="B34" s="21"/>
      <c r="C34" s="21"/>
      <c r="D34" s="21"/>
      <c r="E34" s="21"/>
      <c r="F34" s="21"/>
      <c r="G34" s="21"/>
      <c r="H34" s="21"/>
      <c r="I34" s="21"/>
    </row>
  </sheetData>
  <mergeCells count="20">
    <mergeCell ref="H9:I9"/>
    <mergeCell ref="H10:I10"/>
    <mergeCell ref="H11:I11"/>
    <mergeCell ref="H12:I12"/>
    <mergeCell ref="B2:I3"/>
    <mergeCell ref="B4:I4"/>
    <mergeCell ref="B6:I6"/>
    <mergeCell ref="B9:C9"/>
    <mergeCell ref="B10:C10"/>
    <mergeCell ref="B11:C11"/>
    <mergeCell ref="B12:C12"/>
    <mergeCell ref="D9:E9"/>
    <mergeCell ref="D10:E10"/>
    <mergeCell ref="D11:E11"/>
    <mergeCell ref="D12:E12"/>
    <mergeCell ref="B33:I34"/>
    <mergeCell ref="H28:I28"/>
    <mergeCell ref="H29:I29"/>
    <mergeCell ref="B28:C28"/>
    <mergeCell ref="B29:C29"/>
  </mergeCells>
  <phoneticPr fontId="4" type="noConversion"/>
  <pageMargins left="0.7" right="0.7" top="0.75" bottom="0.75" header="0.3" footer="0.3"/>
  <pageSetup scale="55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0A9E3-A3AB-4778-A128-B0A82DFB948D}">
  <sheetPr codeName="Sheet2">
    <tabColor rgb="FFFF0000"/>
  </sheetPr>
  <dimension ref="B2:G14"/>
  <sheetViews>
    <sheetView showGridLines="0" workbookViewId="0">
      <selection activeCell="O9" sqref="O9"/>
    </sheetView>
  </sheetViews>
  <sheetFormatPr defaultRowHeight="14.4" x14ac:dyDescent="0.3"/>
  <cols>
    <col min="2" max="2" width="11" customWidth="1"/>
    <col min="3" max="4" width="10.33203125" bestFit="1" customWidth="1"/>
    <col min="7" max="7" width="10.44140625" customWidth="1"/>
  </cols>
  <sheetData>
    <row r="2" spans="2:7" x14ac:dyDescent="0.3">
      <c r="B2" s="34" t="s">
        <v>38</v>
      </c>
      <c r="C2" s="35"/>
      <c r="D2" s="35"/>
      <c r="E2" s="35"/>
      <c r="F2" s="35"/>
      <c r="G2" s="35"/>
    </row>
    <row r="3" spans="2:7" x14ac:dyDescent="0.3">
      <c r="B3" s="35"/>
      <c r="C3" s="35"/>
      <c r="D3" s="35"/>
      <c r="E3" s="35"/>
      <c r="F3" s="35"/>
      <c r="G3" s="35"/>
    </row>
    <row r="5" spans="2:7" x14ac:dyDescent="0.3">
      <c r="B5" s="13" t="s">
        <v>21</v>
      </c>
      <c r="C5" s="13" t="s">
        <v>13</v>
      </c>
      <c r="D5" s="13" t="s">
        <v>3</v>
      </c>
      <c r="E5" s="13" t="s">
        <v>22</v>
      </c>
      <c r="F5" s="13" t="s">
        <v>23</v>
      </c>
      <c r="G5" s="13" t="s">
        <v>24</v>
      </c>
    </row>
    <row r="6" spans="2:7" x14ac:dyDescent="0.3">
      <c r="B6" t="s">
        <v>25</v>
      </c>
      <c r="C6" s="3">
        <f ca="1">TODAY()</f>
        <v>45553</v>
      </c>
      <c r="D6" t="s">
        <v>26</v>
      </c>
      <c r="E6">
        <v>120</v>
      </c>
      <c r="F6">
        <v>100</v>
      </c>
      <c r="G6">
        <v>200</v>
      </c>
    </row>
    <row r="7" spans="2:7" x14ac:dyDescent="0.3">
      <c r="B7" t="s">
        <v>28</v>
      </c>
      <c r="C7" s="3">
        <f t="shared" ref="C7:C9" ca="1" si="0">TODAY()</f>
        <v>45553</v>
      </c>
      <c r="D7" t="s">
        <v>27</v>
      </c>
      <c r="E7">
        <v>120</v>
      </c>
      <c r="F7">
        <v>200</v>
      </c>
      <c r="G7">
        <v>300</v>
      </c>
    </row>
    <row r="8" spans="2:7" x14ac:dyDescent="0.3">
      <c r="B8" t="s">
        <v>29</v>
      </c>
      <c r="C8" s="3">
        <f t="shared" ca="1" si="0"/>
        <v>45553</v>
      </c>
      <c r="D8" t="s">
        <v>33</v>
      </c>
      <c r="E8">
        <v>100</v>
      </c>
      <c r="F8">
        <v>300</v>
      </c>
      <c r="G8">
        <v>500</v>
      </c>
    </row>
    <row r="9" spans="2:7" x14ac:dyDescent="0.3">
      <c r="B9" t="s">
        <v>30</v>
      </c>
      <c r="C9" s="3">
        <f t="shared" ca="1" si="0"/>
        <v>45553</v>
      </c>
      <c r="D9" t="s">
        <v>35</v>
      </c>
      <c r="E9">
        <v>250</v>
      </c>
      <c r="F9">
        <v>450</v>
      </c>
      <c r="G9">
        <v>350</v>
      </c>
    </row>
    <row r="10" spans="2:7" x14ac:dyDescent="0.3">
      <c r="C10" s="3"/>
    </row>
    <row r="11" spans="2:7" x14ac:dyDescent="0.3">
      <c r="C11" s="3"/>
    </row>
    <row r="12" spans="2:7" x14ac:dyDescent="0.3">
      <c r="C12" s="3"/>
    </row>
    <row r="13" spans="2:7" x14ac:dyDescent="0.3">
      <c r="C13" s="3"/>
    </row>
    <row r="14" spans="2:7" x14ac:dyDescent="0.3">
      <c r="C14" s="3"/>
    </row>
  </sheetData>
  <mergeCells count="1">
    <mergeCell ref="B2:G3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89BEC-E35D-4B11-B343-CD98A5676877}">
  <sheetPr codeName="Sheet3">
    <tabColor rgb="FF92D050"/>
  </sheetPr>
  <dimension ref="B5:I63"/>
  <sheetViews>
    <sheetView showGridLines="0" workbookViewId="0">
      <selection activeCell="I9" sqref="B6:I9"/>
    </sheetView>
  </sheetViews>
  <sheetFormatPr defaultRowHeight="14.4" x14ac:dyDescent="0.3"/>
  <cols>
    <col min="2" max="2" width="9.21875" customWidth="1"/>
    <col min="3" max="3" width="12.77734375" customWidth="1"/>
    <col min="8" max="8" width="10.77734375" customWidth="1"/>
    <col min="9" max="9" width="9.77734375" customWidth="1"/>
  </cols>
  <sheetData>
    <row r="5" spans="2:9" x14ac:dyDescent="0.3">
      <c r="B5" s="4" t="s">
        <v>0</v>
      </c>
      <c r="C5" s="4" t="s">
        <v>1</v>
      </c>
      <c r="D5" s="4" t="s">
        <v>2</v>
      </c>
      <c r="E5" s="4" t="s">
        <v>3</v>
      </c>
      <c r="F5" s="4" t="s">
        <v>4</v>
      </c>
      <c r="G5" s="4" t="s">
        <v>5</v>
      </c>
      <c r="H5" s="4" t="s">
        <v>6</v>
      </c>
      <c r="I5" s="4" t="s">
        <v>7</v>
      </c>
    </row>
    <row r="10" spans="2:9" x14ac:dyDescent="0.3">
      <c r="C10" t="s">
        <v>34</v>
      </c>
      <c r="E10" t="s">
        <v>34</v>
      </c>
      <c r="F10" t="s">
        <v>34</v>
      </c>
      <c r="H10" t="s">
        <v>34</v>
      </c>
      <c r="I10" t="s">
        <v>34</v>
      </c>
    </row>
    <row r="11" spans="2:9" x14ac:dyDescent="0.3">
      <c r="C11" t="s">
        <v>34</v>
      </c>
      <c r="E11" t="s">
        <v>34</v>
      </c>
      <c r="F11" t="s">
        <v>34</v>
      </c>
      <c r="H11" t="s">
        <v>34</v>
      </c>
      <c r="I11" t="s">
        <v>34</v>
      </c>
    </row>
    <row r="12" spans="2:9" x14ac:dyDescent="0.3">
      <c r="C12" t="s">
        <v>34</v>
      </c>
      <c r="E12" t="s">
        <v>34</v>
      </c>
      <c r="F12" t="s">
        <v>34</v>
      </c>
      <c r="H12" t="s">
        <v>34</v>
      </c>
      <c r="I12" t="s">
        <v>34</v>
      </c>
    </row>
    <row r="13" spans="2:9" x14ac:dyDescent="0.3">
      <c r="C13" t="s">
        <v>34</v>
      </c>
      <c r="E13" t="s">
        <v>34</v>
      </c>
      <c r="F13" t="s">
        <v>34</v>
      </c>
      <c r="H13" t="s">
        <v>34</v>
      </c>
      <c r="I13" t="s">
        <v>34</v>
      </c>
    </row>
    <row r="14" spans="2:9" x14ac:dyDescent="0.3">
      <c r="C14" t="s">
        <v>34</v>
      </c>
      <c r="E14" t="s">
        <v>34</v>
      </c>
      <c r="F14" t="s">
        <v>34</v>
      </c>
      <c r="H14" t="s">
        <v>34</v>
      </c>
      <c r="I14" t="s">
        <v>34</v>
      </c>
    </row>
    <row r="37" spans="3:9" x14ac:dyDescent="0.3">
      <c r="C37" t="s">
        <v>34</v>
      </c>
      <c r="E37" t="s">
        <v>34</v>
      </c>
      <c r="F37" t="s">
        <v>34</v>
      </c>
      <c r="H37" t="s">
        <v>34</v>
      </c>
      <c r="I37" t="s">
        <v>34</v>
      </c>
    </row>
    <row r="38" spans="3:9" x14ac:dyDescent="0.3">
      <c r="C38" t="s">
        <v>34</v>
      </c>
      <c r="E38" t="s">
        <v>34</v>
      </c>
      <c r="F38" t="s">
        <v>34</v>
      </c>
      <c r="H38" t="s">
        <v>34</v>
      </c>
    </row>
    <row r="39" spans="3:9" x14ac:dyDescent="0.3">
      <c r="C39" t="s">
        <v>34</v>
      </c>
      <c r="E39" t="s">
        <v>34</v>
      </c>
      <c r="F39" t="s">
        <v>34</v>
      </c>
      <c r="H39" t="s">
        <v>34</v>
      </c>
    </row>
    <row r="40" spans="3:9" x14ac:dyDescent="0.3">
      <c r="C40" t="s">
        <v>34</v>
      </c>
      <c r="E40" t="s">
        <v>34</v>
      </c>
      <c r="F40" t="s">
        <v>34</v>
      </c>
      <c r="H40" t="s">
        <v>34</v>
      </c>
      <c r="I40" t="s">
        <v>34</v>
      </c>
    </row>
    <row r="59" spans="3:8" x14ac:dyDescent="0.3">
      <c r="C59" t="s">
        <v>34</v>
      </c>
      <c r="E59" t="s">
        <v>34</v>
      </c>
      <c r="F59" t="s">
        <v>34</v>
      </c>
      <c r="H59" t="s">
        <v>34</v>
      </c>
    </row>
    <row r="62" spans="3:8" x14ac:dyDescent="0.3">
      <c r="C62" t="s">
        <v>34</v>
      </c>
      <c r="E62" t="s">
        <v>34</v>
      </c>
      <c r="F62" t="s">
        <v>34</v>
      </c>
      <c r="H62" t="s">
        <v>34</v>
      </c>
    </row>
    <row r="63" spans="3:8" x14ac:dyDescent="0.3">
      <c r="C63" t="s">
        <v>34</v>
      </c>
      <c r="E63" t="s">
        <v>34</v>
      </c>
      <c r="F63" t="s">
        <v>34</v>
      </c>
      <c r="H63" t="s">
        <v>34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5055D-9628-40C6-962A-7A004EC325B3}">
  <sheetPr codeName="Sheet4">
    <tabColor rgb="FF7030A0"/>
  </sheetPr>
  <dimension ref="C5:M12"/>
  <sheetViews>
    <sheetView workbookViewId="0">
      <selection activeCell="L12" sqref="L12"/>
    </sheetView>
  </sheetViews>
  <sheetFormatPr defaultRowHeight="14.4" x14ac:dyDescent="0.3"/>
  <cols>
    <col min="3" max="3" width="11.21875" customWidth="1"/>
    <col min="6" max="6" width="9.77734375" customWidth="1"/>
    <col min="7" max="7" width="9.6640625" customWidth="1"/>
    <col min="10" max="10" width="9.33203125" bestFit="1" customWidth="1"/>
    <col min="13" max="13" width="9.33203125" bestFit="1" customWidth="1"/>
  </cols>
  <sheetData>
    <row r="5" spans="3:13" x14ac:dyDescent="0.3">
      <c r="C5" s="8" t="s">
        <v>21</v>
      </c>
      <c r="D5" s="9" t="s">
        <v>3</v>
      </c>
      <c r="E5" s="9" t="s">
        <v>23</v>
      </c>
      <c r="F5" s="9" t="s">
        <v>31</v>
      </c>
      <c r="G5" s="10" t="s">
        <v>32</v>
      </c>
      <c r="J5" s="11" t="s">
        <v>21</v>
      </c>
      <c r="M5" s="11" t="s">
        <v>21</v>
      </c>
    </row>
    <row r="6" spans="3:13" x14ac:dyDescent="0.3">
      <c r="C6" s="2" t="s">
        <v>25</v>
      </c>
      <c r="D6" s="2" t="str">
        <f>IFERROR(VLOOKUP(Table5[[#This Row],[HSN Code]],Table2[#All],3,0),"")</f>
        <v>Mouse</v>
      </c>
      <c r="E6" s="2">
        <f>SUMIF(Table2[Item],Table5[[#This Row],[Item]],Table2[P Qty])</f>
        <v>100</v>
      </c>
      <c r="F6" s="2">
        <f>SUMIF(Table3[Item],Table5[[#This Row],[Item]],Table3[Qty])</f>
        <v>0</v>
      </c>
      <c r="G6" s="6">
        <f>Table5[[#This Row],[P Qty]]-Table5[[#This Row],[Sale Qty]]</f>
        <v>100</v>
      </c>
    </row>
    <row r="7" spans="3:13" x14ac:dyDescent="0.3">
      <c r="C7" s="2" t="s">
        <v>28</v>
      </c>
      <c r="D7" s="2" t="str">
        <f>IFERROR(VLOOKUP(Table5[[#This Row],[HSN Code]],Table2[#All],3,0),"")</f>
        <v>Keyboard</v>
      </c>
      <c r="E7" s="2">
        <f>SUMIF(Table2[Item],Table5[[#This Row],[Item]],Table2[P Qty])</f>
        <v>200</v>
      </c>
      <c r="F7" s="2">
        <f>SUMIF(Table3[Item],Table5[[#This Row],[Item]],Table3[Qty])</f>
        <v>0</v>
      </c>
      <c r="G7" s="6">
        <f>Table5[[#This Row],[P Qty]]-Table5[[#This Row],[Sale Qty]]</f>
        <v>200</v>
      </c>
    </row>
    <row r="8" spans="3:13" x14ac:dyDescent="0.3">
      <c r="C8" s="2" t="s">
        <v>29</v>
      </c>
      <c r="D8" s="2" t="str">
        <f>IFERROR(VLOOKUP(Table5[[#This Row],[HSN Code]],Table2[#All],3,0),"")</f>
        <v>Printer</v>
      </c>
      <c r="E8" s="2">
        <f>SUMIF(Table2[Item],Table5[[#This Row],[Item]],Table2[P Qty])</f>
        <v>300</v>
      </c>
      <c r="F8" s="2">
        <f>SUMIF(Table3[Item],Table5[[#This Row],[Item]],Table3[Qty])</f>
        <v>0</v>
      </c>
      <c r="G8" s="6">
        <f>Table5[[#This Row],[P Qty]]-Table5[[#This Row],[Sale Qty]]</f>
        <v>300</v>
      </c>
    </row>
    <row r="9" spans="3:13" x14ac:dyDescent="0.3">
      <c r="C9" s="2" t="s">
        <v>30</v>
      </c>
      <c r="D9" s="2" t="str">
        <f>IFERROR(VLOOKUP(Table5[[#This Row],[HSN Code]],Table2[#All],3,0),"")</f>
        <v>Speaker</v>
      </c>
      <c r="E9" s="2">
        <f>SUMIF(Table2[Item],Table5[[#This Row],[Item]],Table2[P Qty])</f>
        <v>450</v>
      </c>
      <c r="F9" s="2">
        <f>SUMIF(Table3[Item],Table5[[#This Row],[Item]],Table3[Qty])</f>
        <v>0</v>
      </c>
      <c r="G9" s="6">
        <f>Table5[[#This Row],[P Qty]]-Table5[[#This Row],[Sale Qty]]</f>
        <v>450</v>
      </c>
    </row>
    <row r="10" spans="3:13" x14ac:dyDescent="0.3">
      <c r="C10" s="2"/>
      <c r="D10" s="2" t="str">
        <f>IFERROR(VLOOKUP(Table5[[#This Row],[HSN Code]],Table2[#All],3,0),"")</f>
        <v/>
      </c>
      <c r="E10" s="2"/>
      <c r="F10" s="2"/>
      <c r="G10" s="6"/>
    </row>
    <row r="11" spans="3:13" x14ac:dyDescent="0.3">
      <c r="C11" s="2"/>
      <c r="D11" s="2" t="str">
        <f>IFERROR(VLOOKUP(Table5[[#This Row],[HSN Code]],Table2[#All],3,0),"")</f>
        <v/>
      </c>
      <c r="E11" s="2"/>
      <c r="F11" s="2"/>
      <c r="G11" s="6"/>
    </row>
    <row r="12" spans="3:13" x14ac:dyDescent="0.3">
      <c r="C12" s="2"/>
      <c r="D12" s="2" t="str">
        <f>IFERROR(VLOOKUP(Table5[[#This Row],[HSN Code]],Table2[#All],3,0),"")</f>
        <v/>
      </c>
      <c r="E12" s="7"/>
      <c r="F12" s="7"/>
      <c r="G12" s="1"/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3DC5-6D50-4B68-AB9D-1A6702942D24}">
  <sheetPr codeName="Sheet5"/>
  <dimension ref="B1:H11"/>
  <sheetViews>
    <sheetView showGridLines="0" workbookViewId="0">
      <selection sqref="A1:H2"/>
    </sheetView>
  </sheetViews>
  <sheetFormatPr defaultRowHeight="14.4" x14ac:dyDescent="0.3"/>
  <sheetData>
    <row r="1" spans="2:8" x14ac:dyDescent="0.3">
      <c r="B1">
        <v>2</v>
      </c>
      <c r="C1" t="s">
        <v>28</v>
      </c>
      <c r="D1" t="s">
        <v>27</v>
      </c>
      <c r="E1">
        <v>300</v>
      </c>
      <c r="F1">
        <v>25</v>
      </c>
      <c r="G1">
        <v>375</v>
      </c>
      <c r="H1">
        <v>7875</v>
      </c>
    </row>
    <row r="2" spans="2:8" x14ac:dyDescent="0.3">
      <c r="B2">
        <v>2</v>
      </c>
      <c r="C2" t="s">
        <v>29</v>
      </c>
      <c r="D2" t="s">
        <v>33</v>
      </c>
      <c r="E2">
        <v>500</v>
      </c>
      <c r="F2">
        <v>45</v>
      </c>
      <c r="G2">
        <v>1125</v>
      </c>
      <c r="H2">
        <v>23625</v>
      </c>
    </row>
    <row r="4" spans="2:8" x14ac:dyDescent="0.3">
      <c r="B4">
        <v>1</v>
      </c>
      <c r="C4" t="s">
        <v>25</v>
      </c>
      <c r="D4" t="s">
        <v>26</v>
      </c>
      <c r="E4">
        <v>200</v>
      </c>
      <c r="F4">
        <v>25</v>
      </c>
      <c r="G4">
        <v>250</v>
      </c>
      <c r="H4">
        <v>5250</v>
      </c>
    </row>
    <row r="5" spans="2:8" x14ac:dyDescent="0.3">
      <c r="B5">
        <v>1</v>
      </c>
      <c r="C5" t="s">
        <v>28</v>
      </c>
      <c r="D5" t="s">
        <v>27</v>
      </c>
      <c r="E5">
        <v>300</v>
      </c>
      <c r="F5">
        <v>51</v>
      </c>
      <c r="G5">
        <v>765</v>
      </c>
      <c r="H5">
        <v>16065</v>
      </c>
    </row>
    <row r="6" spans="2:8" x14ac:dyDescent="0.3">
      <c r="B6" t="s">
        <v>34</v>
      </c>
      <c r="D6" t="s">
        <v>34</v>
      </c>
      <c r="E6" t="s">
        <v>34</v>
      </c>
      <c r="G6" t="s">
        <v>34</v>
      </c>
      <c r="H6" t="s">
        <v>34</v>
      </c>
    </row>
    <row r="7" spans="2:8" x14ac:dyDescent="0.3">
      <c r="B7" t="s">
        <v>34</v>
      </c>
      <c r="D7" t="s">
        <v>34</v>
      </c>
      <c r="E7" t="s">
        <v>34</v>
      </c>
      <c r="G7" t="s">
        <v>34</v>
      </c>
      <c r="H7" t="s">
        <v>34</v>
      </c>
    </row>
    <row r="8" spans="2:8" x14ac:dyDescent="0.3">
      <c r="B8" t="s">
        <v>34</v>
      </c>
      <c r="D8" t="s">
        <v>34</v>
      </c>
      <c r="E8" t="s">
        <v>34</v>
      </c>
      <c r="G8" t="s">
        <v>34</v>
      </c>
      <c r="H8" t="s">
        <v>34</v>
      </c>
    </row>
    <row r="9" spans="2:8" x14ac:dyDescent="0.3">
      <c r="B9" t="s">
        <v>34</v>
      </c>
      <c r="D9" t="s">
        <v>34</v>
      </c>
      <c r="E9" t="s">
        <v>34</v>
      </c>
      <c r="G9" t="s">
        <v>34</v>
      </c>
      <c r="H9" t="s">
        <v>34</v>
      </c>
    </row>
    <row r="10" spans="2:8" x14ac:dyDescent="0.3">
      <c r="B10" t="s">
        <v>34</v>
      </c>
      <c r="D10" t="s">
        <v>34</v>
      </c>
      <c r="E10" t="s">
        <v>34</v>
      </c>
      <c r="G10" t="s">
        <v>34</v>
      </c>
      <c r="H10" t="s">
        <v>34</v>
      </c>
    </row>
    <row r="11" spans="2:8" x14ac:dyDescent="0.3">
      <c r="B11" t="s">
        <v>34</v>
      </c>
      <c r="D11" t="s">
        <v>34</v>
      </c>
      <c r="E11" t="s">
        <v>34</v>
      </c>
      <c r="G11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Invoice</vt:lpstr>
      <vt:lpstr>Purchase</vt:lpstr>
      <vt:lpstr>Sales</vt:lpstr>
      <vt:lpstr>Stock</vt:lpstr>
      <vt:lpstr>Sheet6</vt:lpstr>
      <vt:lpstr>Stock!Criteria</vt:lpstr>
      <vt:lpstr>Stock!Extract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 agarwal</dc:creator>
  <cp:lastModifiedBy>aman agarwal</cp:lastModifiedBy>
  <cp:lastPrinted>2024-09-09T19:08:01Z</cp:lastPrinted>
  <dcterms:created xsi:type="dcterms:W3CDTF">2015-06-05T18:17:20Z</dcterms:created>
  <dcterms:modified xsi:type="dcterms:W3CDTF">2024-09-18T05:53:51Z</dcterms:modified>
</cp:coreProperties>
</file>